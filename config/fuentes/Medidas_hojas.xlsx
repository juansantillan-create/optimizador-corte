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briela.gobbo\Downloads\"/>
    </mc:Choice>
  </mc:AlternateContent>
  <bookViews>
    <workbookView xWindow="0" yWindow="0" windowWidth="28800" windowHeight="12435" activeTab="1"/>
  </bookViews>
  <sheets>
    <sheet name="MONOLITICO" sheetId="1" r:id="rId1"/>
    <sheet name="LAMINADO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G10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2" i="1"/>
  <c r="G2" i="2"/>
  <c r="G3" i="2"/>
  <c r="G4" i="2"/>
  <c r="G5" i="2"/>
  <c r="G6" i="2"/>
  <c r="G7" i="2"/>
  <c r="G8" i="2"/>
  <c r="G9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F2" i="2"/>
  <c r="F3" i="2"/>
  <c r="F4" i="2"/>
  <c r="F5" i="2"/>
  <c r="F6" i="2"/>
  <c r="F7" i="2"/>
  <c r="F8" i="2"/>
  <c r="F9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</calcChain>
</file>

<file path=xl/sharedStrings.xml><?xml version="1.0" encoding="utf-8"?>
<sst xmlns="http://schemas.openxmlformats.org/spreadsheetml/2006/main" count="216" uniqueCount="181">
  <si>
    <t>Descripción</t>
  </si>
  <si>
    <t>Código</t>
  </si>
  <si>
    <t>Largo</t>
  </si>
  <si>
    <t>Ancho</t>
  </si>
  <si>
    <t>CATEDRAL 4 MM MARTELE AMBAR</t>
  </si>
  <si>
    <t>CA4M1</t>
  </si>
  <si>
    <t>CATEDRAL 4 MM PACIFICO</t>
  </si>
  <si>
    <t>CA4PA</t>
  </si>
  <si>
    <t>CATEDRAL 4 MM STIPOLITE</t>
  </si>
  <si>
    <t>CA4ST</t>
  </si>
  <si>
    <t>CATEDRAL 6 MM ARMADO</t>
  </si>
  <si>
    <t>CA6AD</t>
  </si>
  <si>
    <t>CATEDRAL 8 MM PACIFICO</t>
  </si>
  <si>
    <t>CA8PA</t>
  </si>
  <si>
    <t>COOL LITE KNT 6 MM GREY KNT 355</t>
  </si>
  <si>
    <t>CK6KG</t>
  </si>
  <si>
    <t>COOL LITE KNT 6 MM KNT 140</t>
  </si>
  <si>
    <t>CK6K1</t>
  </si>
  <si>
    <t>COOL LITE KNT 6 MM KNT 155</t>
  </si>
  <si>
    <t>CK6K2</t>
  </si>
  <si>
    <t>COOL LITE KNT 6 MM KNT 164</t>
  </si>
  <si>
    <t>CK6K3</t>
  </si>
  <si>
    <t>COOL LITE KNT 8 MM KNT 155</t>
  </si>
  <si>
    <t>CK8K2</t>
  </si>
  <si>
    <t>COOL LITE ST 4 MM 150</t>
  </si>
  <si>
    <t>CT4N2</t>
  </si>
  <si>
    <t>COOL LITE ST 4 MM GRIS - ST120</t>
  </si>
  <si>
    <t>CT4G1</t>
  </si>
  <si>
    <t>COOL LITE ST 6 MM AZUL - STB120</t>
  </si>
  <si>
    <t>CT6AZ</t>
  </si>
  <si>
    <t>COOL LITE ST 6 MM GRIS - ST120</t>
  </si>
  <si>
    <t>CT6G1</t>
  </si>
  <si>
    <t>COOL LITE ST 6 MM NEUTRO ST 150</t>
  </si>
  <si>
    <t>CT6G2</t>
  </si>
  <si>
    <t>COVERGLASS 3+3 MM EXTRA BLANCO</t>
  </si>
  <si>
    <t>CV3+3EB</t>
  </si>
  <si>
    <t>COVERGLASS 5 MM BLANCO</t>
  </si>
  <si>
    <t>CV5BL</t>
  </si>
  <si>
    <t>ECLIPSE ADV 6 MM ARTIC BLUE</t>
  </si>
  <si>
    <t>EC6AR</t>
  </si>
  <si>
    <t>ECLIPSE ADV 6 MM BLUEGREEN</t>
  </si>
  <si>
    <t>EC6BL</t>
  </si>
  <si>
    <t>ECLIPSE ADV 6 MM EVERGREEN</t>
  </si>
  <si>
    <t>EC6EV</t>
  </si>
  <si>
    <t>ECLIPSE ADV 6 MM GREY</t>
  </si>
  <si>
    <t>EC6GY</t>
  </si>
  <si>
    <t>FL 10 MM GRIS</t>
  </si>
  <si>
    <t>FL10GR</t>
  </si>
  <si>
    <t>FL 10 MM INC</t>
  </si>
  <si>
    <t>FL10IN</t>
  </si>
  <si>
    <t>FL 3 MM INC</t>
  </si>
  <si>
    <t>FL3IN</t>
  </si>
  <si>
    <t>FL 4 MM BRONCE OPACID</t>
  </si>
  <si>
    <t>FL4BROA</t>
  </si>
  <si>
    <t>FL 4 MM GRIS</t>
  </si>
  <si>
    <t>FL4GR</t>
  </si>
  <si>
    <t>FL 4 MM INC</t>
  </si>
  <si>
    <t>FL4IN</t>
  </si>
  <si>
    <t>FL 5 MM GRIS</t>
  </si>
  <si>
    <t>FL5GR</t>
  </si>
  <si>
    <t>FL 5 MM INC</t>
  </si>
  <si>
    <t>FL5IN</t>
  </si>
  <si>
    <t>FL 5MM SOL NEU LIGHT</t>
  </si>
  <si>
    <t>FL5NL</t>
  </si>
  <si>
    <t>FL 6 MM BRONCE</t>
  </si>
  <si>
    <t>FL6BR</t>
  </si>
  <si>
    <t>FL 6 MM GRIS</t>
  </si>
  <si>
    <t>FL6GR</t>
  </si>
  <si>
    <t>FL 6 MM INC</t>
  </si>
  <si>
    <t>FL6IN</t>
  </si>
  <si>
    <t>FL 6 MM SOL NEU LIGHT</t>
  </si>
  <si>
    <t>FL6NL</t>
  </si>
  <si>
    <t>FL 8 MM GRIS</t>
  </si>
  <si>
    <t>FL8GR</t>
  </si>
  <si>
    <t>FL 8 MM INC</t>
  </si>
  <si>
    <t>FL8IN</t>
  </si>
  <si>
    <t>FL 8 MM SOL NEU LIGHT</t>
  </si>
  <si>
    <t>FL8NL</t>
  </si>
  <si>
    <t>GRAPHITE 5 MM</t>
  </si>
  <si>
    <t>GRAPH5</t>
  </si>
  <si>
    <t>LAMILUX 3+3 INC</t>
  </si>
  <si>
    <t>LX3+3IN</t>
  </si>
  <si>
    <t>LOW-E 4 MM INC</t>
  </si>
  <si>
    <t>LO4IN</t>
  </si>
  <si>
    <t>LOW-E 6 MM INC</t>
  </si>
  <si>
    <t>LO6IN</t>
  </si>
  <si>
    <t>OPACID 10 MM INC</t>
  </si>
  <si>
    <t>OA10IN</t>
  </si>
  <si>
    <t>OPACID 4 MM INC</t>
  </si>
  <si>
    <t>OA4IN</t>
  </si>
  <si>
    <t>OPACID 8 MM INC</t>
  </si>
  <si>
    <t>OA8IN</t>
  </si>
  <si>
    <t>OPTIMIRROR  6 MM GRIS</t>
  </si>
  <si>
    <t>OP6GR</t>
  </si>
  <si>
    <t>OPTIMIRROR 3 MM BRONCE</t>
  </si>
  <si>
    <t>OP3BR</t>
  </si>
  <si>
    <t>OPTIMIRROR 5 MM INC</t>
  </si>
  <si>
    <t>OP5IN</t>
  </si>
  <si>
    <t>OPTIMIRROR LAMI 3+3 MM INC</t>
  </si>
  <si>
    <t>OL3+3IN</t>
  </si>
  <si>
    <t>OPTIMIRROR PLUS 3 MM INC</t>
  </si>
  <si>
    <t>OP3IN</t>
  </si>
  <si>
    <t>OPTIMIRROR PLUS 4 MM INC</t>
  </si>
  <si>
    <t>OP4IN</t>
  </si>
  <si>
    <t>OPTIMIRROR PLUS 5 MM GRIS</t>
  </si>
  <si>
    <t>OP5GR</t>
  </si>
  <si>
    <t>SOLAR-E 6 MM BLUEGREEN</t>
  </si>
  <si>
    <t>SO6BL</t>
  </si>
  <si>
    <t>SOLAR-E 6 MM ON CLEAR</t>
  </si>
  <si>
    <t>SO6OC</t>
  </si>
  <si>
    <t>SOLAR-E 6 MM ON GREY</t>
  </si>
  <si>
    <t>SO6OG</t>
  </si>
  <si>
    <t>STOPSOL CLASSIC 6MM BRONCE</t>
  </si>
  <si>
    <t>ST6BR</t>
  </si>
  <si>
    <t>SU TINTS 6 MM ARTIC BLUE</t>
  </si>
  <si>
    <t>SU6AR</t>
  </si>
  <si>
    <t>SU TINTS 6 MM EVERGREEN</t>
  </si>
  <si>
    <t>SU6EV</t>
  </si>
  <si>
    <t>SU TINTS 6 MM SUPER GREY</t>
  </si>
  <si>
    <t>SU6SU</t>
  </si>
  <si>
    <t>SU TINTS OPTIGREEN 6 MM</t>
  </si>
  <si>
    <t>SU6MMOG</t>
  </si>
  <si>
    <t>CORTE BANDA</t>
  </si>
  <si>
    <t>LARGO NUEVO</t>
  </si>
  <si>
    <t>ANCHO NUEVO</t>
  </si>
  <si>
    <t>LX3+3BC</t>
  </si>
  <si>
    <t>LAMILUX 3+3 MM BRONCE CLARO</t>
  </si>
  <si>
    <t>LX3+3ES</t>
  </si>
  <si>
    <t>LAMILUX 3+3 MM ESMERILADO</t>
  </si>
  <si>
    <t>LX3+3GC</t>
  </si>
  <si>
    <t>LAMILUX 3+3 MM GRIS CLARO</t>
  </si>
  <si>
    <t>LX3+3GO</t>
  </si>
  <si>
    <t>LAMILUX 3+3 MM GRIS OSCURO</t>
  </si>
  <si>
    <t>LX3+3LOW</t>
  </si>
  <si>
    <t>LAMILUX 3+3 MM LOW-E</t>
  </si>
  <si>
    <t>LX3+3OP</t>
  </si>
  <si>
    <t>LAMILUX 3+3 MM OPTIMIRROR</t>
  </si>
  <si>
    <t>LX3+3OPBR</t>
  </si>
  <si>
    <t>LAMILUX 3+3 MM OPTIMIRROR BRONCE</t>
  </si>
  <si>
    <t>LX3+3VC</t>
  </si>
  <si>
    <t>LAMILUX 3+3 MM VERDE CLARO</t>
  </si>
  <si>
    <t>LX4+4ES</t>
  </si>
  <si>
    <t>LAMILUX 4+4 MM ESMERILADO</t>
  </si>
  <si>
    <t>LX4+4GC</t>
  </si>
  <si>
    <t>LAMILUX 4+4 MM GRIS CLARO</t>
  </si>
  <si>
    <t>LX4+4GO</t>
  </si>
  <si>
    <t>LAMILUX 4+4 MM GRIS OSCURO</t>
  </si>
  <si>
    <t>LX4+4GOESM</t>
  </si>
  <si>
    <t>LAMILUX 4+4 MM GRIS OSCURO ESM</t>
  </si>
  <si>
    <t>LX4+4GR</t>
  </si>
  <si>
    <t>LAMILUX COOL LITE 4+4 MM GRIS ST 120.</t>
  </si>
  <si>
    <t>LX4+4IN</t>
  </si>
  <si>
    <t>LAMILUX 4+4 INC</t>
  </si>
  <si>
    <t>LX4+4LOWE</t>
  </si>
  <si>
    <t>LAMILUX 4+4 LOW-E</t>
  </si>
  <si>
    <t>LX4+4NEU</t>
  </si>
  <si>
    <t>LAMILUX COOL LITE 4+4 MM NEUTRO ST 150.</t>
  </si>
  <si>
    <t>LX4+4NL</t>
  </si>
  <si>
    <t>LAMILUX 4+4 MM NEUTRO LIGHT</t>
  </si>
  <si>
    <t>LX4+4ST150</t>
  </si>
  <si>
    <t>LAMILUX COOL LITE 4+4 MM NEUTRO ST 150</t>
  </si>
  <si>
    <t>LX4+4ST467</t>
  </si>
  <si>
    <t>LAMILUX COOL LITE 4+4 MM VERDE ST 467</t>
  </si>
  <si>
    <t>LX4+4STB12</t>
  </si>
  <si>
    <t>LAMILUX COOL LITE 4+4 MM AZUL STB 120</t>
  </si>
  <si>
    <t>LX5+3AC</t>
  </si>
  <si>
    <t>LAMILUX 5+3 MM INC ACUSTICO</t>
  </si>
  <si>
    <t>LX5+5ES</t>
  </si>
  <si>
    <t>LAMILUX 5+5 MM ESMERILADO</t>
  </si>
  <si>
    <t>LX5+5GC</t>
  </si>
  <si>
    <t>LAMILUX 5+5 MM GRIS CLARO</t>
  </si>
  <si>
    <t>LX5+5IN</t>
  </si>
  <si>
    <t>LAMILUX 5+5 MM INC</t>
  </si>
  <si>
    <t>LX5+5NL</t>
  </si>
  <si>
    <t>LAMILUX 5+5 MM NEUTRO LIGHT</t>
  </si>
  <si>
    <t>LX5+5VB</t>
  </si>
  <si>
    <t>LAMILUX 5+5 MM VERDE BRONCE</t>
  </si>
  <si>
    <t>LX5+5VC</t>
  </si>
  <si>
    <t>LAMILUX 5+5 MM VERDE CLARO</t>
  </si>
  <si>
    <t>LX6+6IN</t>
  </si>
  <si>
    <t>LAMILUX 6+6 MM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</si>
</sst>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3" borderId="1" xfId="0" applyFill="1" applyBorder="1"/>
    <xf numFmtId="0" fontId="0" fillId="3" borderId="3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0" xfId="0" applyFill="1"/>
    <xf numFmtId="0" fontId="1" fillId="2" borderId="4" xfId="0" applyFont="1" applyFill="1" applyBorder="1"/>
    <xf numFmtId="0" fontId="1" fillId="2" borderId="5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2" fillId="0" borderId="0" xfId="0" applyFont="1"/>
  </cellXfs>
  <cellStyles count="1">
    <cellStyle name="Normal" xfId="0" builtinId="0"/>
  </cellStyles>
  <dxfs count="22">
    <dxf>
      <numFmt numFmtId="0" formatCode="General"/>
      <fill>
        <patternFill>
          <fgColor indexed="64"/>
          <bgColor theme="9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theme="9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A1:G67" totalsRowShown="0" headerRowDxfId="13" headerRowBorderDxfId="15" tableBorderDxfId="16" totalsRowBorderDxfId="14">
  <autoFilter ref="A1:G67"/>
  <tableColumns count="7">
    <tableColumn id="1" name="Descripción" dataDxfId="21"/>
    <tableColumn id="2" name="Código" dataDxfId="20"/>
    <tableColumn id="3" name="Largo" dataDxfId="19"/>
    <tableColumn id="4" name="Ancho" dataDxfId="18"/>
    <tableColumn id="5" name="CORTE BANDA" dataDxfId="17"/>
    <tableColumn id="6" name="LARGO NUEVO" dataDxfId="1">
      <calculatedColumnFormula>+Tabla1[[#This Row],[Largo]]</calculatedColumnFormula>
    </tableColumn>
    <tableColumn id="7" name="ANCHO NUEVO" dataDxfId="0">
      <calculatedColumnFormula>+Tabla1[[#This Row],[Ancho]]-Tabla1[[#This Row],[CORTE BANDA]]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:G36" totalsRowShown="0" headerRowDxfId="4" headerRowBorderDxfId="11" tableBorderDxfId="12" totalsRowBorderDxfId="10">
  <autoFilter ref="A1:G36"/>
  <tableColumns count="7">
    <tableColumn id="1" name="Descripción" dataDxfId="9"/>
    <tableColumn id="2" name="Código" dataDxfId="8"/>
    <tableColumn id="3" name="Largo" dataDxfId="7"/>
    <tableColumn id="4" name="Ancho" dataDxfId="6"/>
    <tableColumn id="5" name="CORTE BANDA" dataDxfId="5"/>
    <tableColumn id="6" name="LARGO NUEVO" dataDxfId="3">
      <calculatedColumnFormula>+Tabla2[[#This Row],[Largo]]</calculatedColumnFormula>
    </tableColumn>
    <tableColumn id="7" name="ANCHO NUEVO" dataDxfId="2">
      <calculatedColumnFormula>+Tabla2[[#This Row],[Ancho]]-Tabla2[[#This Row],[CORTE BANDA]]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topLeftCell="A58" workbookViewId="0">
      <selection activeCell="F67" sqref="F67"/>
    </sheetView>
  </sheetViews>
  <sheetFormatPr baseColWidth="10" defaultRowHeight="15" x14ac:dyDescent="0.25"/>
  <cols>
    <col min="1" max="1" width="37.5703125" customWidth="1"/>
    <col min="2" max="2" width="14.5703125" bestFit="1" customWidth="1"/>
    <col min="5" max="5" width="16.7109375" customWidth="1"/>
    <col min="6" max="6" width="16.28515625" style="9" customWidth="1"/>
    <col min="7" max="7" width="19.42578125" style="9" customWidth="1"/>
  </cols>
  <sheetData>
    <row r="1" spans="1:7" s="14" customFormat="1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122</v>
      </c>
      <c r="F1" s="12" t="s">
        <v>123</v>
      </c>
      <c r="G1" s="13" t="s">
        <v>124</v>
      </c>
    </row>
    <row r="2" spans="1:7" x14ac:dyDescent="0.25">
      <c r="A2" s="2" t="s">
        <v>4</v>
      </c>
      <c r="B2" s="1" t="s">
        <v>5</v>
      </c>
      <c r="C2" s="1">
        <v>1600</v>
      </c>
      <c r="D2" s="1">
        <v>2500</v>
      </c>
      <c r="E2" s="1">
        <v>20</v>
      </c>
      <c r="F2" s="5">
        <f>+Tabla1[[#This Row],[Largo]]</f>
        <v>1600</v>
      </c>
      <c r="G2" s="6">
        <f>+Tabla1[[#This Row],[Ancho]]-Tabla1[[#This Row],[CORTE BANDA]]</f>
        <v>2480</v>
      </c>
    </row>
    <row r="3" spans="1:7" x14ac:dyDescent="0.25">
      <c r="A3" s="2" t="s">
        <v>6</v>
      </c>
      <c r="B3" s="1" t="s">
        <v>7</v>
      </c>
      <c r="C3" s="1">
        <v>1600</v>
      </c>
      <c r="D3" s="1">
        <v>2500</v>
      </c>
      <c r="E3" s="1">
        <v>20</v>
      </c>
      <c r="F3" s="5">
        <f>+Tabla1[[#This Row],[Largo]]</f>
        <v>1600</v>
      </c>
      <c r="G3" s="6">
        <f>+Tabla1[[#This Row],[Ancho]]-Tabla1[[#This Row],[CORTE BANDA]]</f>
        <v>2480</v>
      </c>
    </row>
    <row r="4" spans="1:7" x14ac:dyDescent="0.25">
      <c r="A4" s="2" t="s">
        <v>8</v>
      </c>
      <c r="B4" s="1" t="s">
        <v>9</v>
      </c>
      <c r="C4" s="1">
        <v>1600</v>
      </c>
      <c r="D4" s="1">
        <v>2500</v>
      </c>
      <c r="E4" s="1">
        <v>20</v>
      </c>
      <c r="F4" s="5">
        <f>+Tabla1[[#This Row],[Largo]]</f>
        <v>1600</v>
      </c>
      <c r="G4" s="6">
        <f>+Tabla1[[#This Row],[Ancho]]-Tabla1[[#This Row],[CORTE BANDA]]</f>
        <v>2480</v>
      </c>
    </row>
    <row r="5" spans="1:7" x14ac:dyDescent="0.25">
      <c r="A5" s="2" t="s">
        <v>10</v>
      </c>
      <c r="B5" s="1" t="s">
        <v>11</v>
      </c>
      <c r="C5" s="1">
        <v>1600</v>
      </c>
      <c r="D5" s="1">
        <v>3000</v>
      </c>
      <c r="E5" s="1">
        <v>20</v>
      </c>
      <c r="F5" s="5">
        <f>+Tabla1[[#This Row],[Largo]]</f>
        <v>1600</v>
      </c>
      <c r="G5" s="6">
        <f>+Tabla1[[#This Row],[Ancho]]-Tabla1[[#This Row],[CORTE BANDA]]</f>
        <v>2980</v>
      </c>
    </row>
    <row r="6" spans="1:7" x14ac:dyDescent="0.25">
      <c r="A6" s="2" t="s">
        <v>12</v>
      </c>
      <c r="B6" s="1" t="s">
        <v>13</v>
      </c>
      <c r="C6" s="1">
        <v>1600</v>
      </c>
      <c r="D6" s="1">
        <v>2500</v>
      </c>
      <c r="E6" s="1">
        <v>30</v>
      </c>
      <c r="F6" s="5">
        <f>+Tabla1[[#This Row],[Largo]]</f>
        <v>1600</v>
      </c>
      <c r="G6" s="6">
        <f>+Tabla1[[#This Row],[Ancho]]-Tabla1[[#This Row],[CORTE BANDA]]</f>
        <v>2470</v>
      </c>
    </row>
    <row r="7" spans="1:7" x14ac:dyDescent="0.25">
      <c r="A7" s="2" t="s">
        <v>14</v>
      </c>
      <c r="B7" s="1" t="s">
        <v>15</v>
      </c>
      <c r="C7" s="1">
        <v>2540</v>
      </c>
      <c r="D7" s="1">
        <v>3210</v>
      </c>
      <c r="E7" s="1">
        <v>20</v>
      </c>
      <c r="F7" s="5">
        <f>+Tabla1[[#This Row],[Largo]]</f>
        <v>2540</v>
      </c>
      <c r="G7" s="6">
        <f>+Tabla1[[#This Row],[Ancho]]-Tabla1[[#This Row],[CORTE BANDA]]</f>
        <v>3190</v>
      </c>
    </row>
    <row r="8" spans="1:7" x14ac:dyDescent="0.25">
      <c r="A8" s="2" t="s">
        <v>16</v>
      </c>
      <c r="B8" s="1" t="s">
        <v>17</v>
      </c>
      <c r="C8" s="1">
        <v>2540</v>
      </c>
      <c r="D8" s="1">
        <v>3210</v>
      </c>
      <c r="E8" s="1">
        <v>20</v>
      </c>
      <c r="F8" s="5">
        <f>+Tabla1[[#This Row],[Largo]]</f>
        <v>2540</v>
      </c>
      <c r="G8" s="6">
        <f>+Tabla1[[#This Row],[Ancho]]-Tabla1[[#This Row],[CORTE BANDA]]</f>
        <v>3190</v>
      </c>
    </row>
    <row r="9" spans="1:7" x14ac:dyDescent="0.25">
      <c r="A9" s="2" t="s">
        <v>16</v>
      </c>
      <c r="B9" s="1" t="s">
        <v>17</v>
      </c>
      <c r="C9" s="1">
        <v>2540</v>
      </c>
      <c r="D9" s="1">
        <v>3600</v>
      </c>
      <c r="E9" s="1">
        <v>20</v>
      </c>
      <c r="F9" s="5">
        <f>+Tabla1[[#This Row],[Largo]]</f>
        <v>2540</v>
      </c>
      <c r="G9" s="6">
        <f>+Tabla1[[#This Row],[Ancho]]-Tabla1[[#This Row],[CORTE BANDA]]</f>
        <v>3580</v>
      </c>
    </row>
    <row r="10" spans="1:7" x14ac:dyDescent="0.25">
      <c r="A10" s="2" t="s">
        <v>18</v>
      </c>
      <c r="B10" s="1" t="s">
        <v>19</v>
      </c>
      <c r="C10" s="1">
        <v>2540</v>
      </c>
      <c r="D10" s="1">
        <v>3210</v>
      </c>
      <c r="E10" s="1">
        <v>20</v>
      </c>
      <c r="F10" s="5">
        <f>+Tabla1[[#This Row],[Largo]]</f>
        <v>2540</v>
      </c>
      <c r="G10" s="6">
        <f>+Tabla1[[#This Row],[Ancho]]-Tabla1[[#This Row],[CORTE BANDA]]</f>
        <v>3190</v>
      </c>
    </row>
    <row r="11" spans="1:7" x14ac:dyDescent="0.25">
      <c r="A11" s="2" t="s">
        <v>20</v>
      </c>
      <c r="B11" s="1" t="s">
        <v>21</v>
      </c>
      <c r="C11" s="1">
        <v>2540</v>
      </c>
      <c r="D11" s="1">
        <v>3210</v>
      </c>
      <c r="E11" s="1">
        <v>20</v>
      </c>
      <c r="F11" s="5">
        <f>+Tabla1[[#This Row],[Largo]]</f>
        <v>2540</v>
      </c>
      <c r="G11" s="6">
        <f>+Tabla1[[#This Row],[Ancho]]-Tabla1[[#This Row],[CORTE BANDA]]</f>
        <v>3190</v>
      </c>
    </row>
    <row r="12" spans="1:7" x14ac:dyDescent="0.25">
      <c r="A12" s="2" t="s">
        <v>22</v>
      </c>
      <c r="B12" s="1" t="s">
        <v>23</v>
      </c>
      <c r="C12" s="1">
        <v>2540</v>
      </c>
      <c r="D12" s="1">
        <v>3600</v>
      </c>
      <c r="E12" s="1">
        <v>30</v>
      </c>
      <c r="F12" s="5">
        <f>+Tabla1[[#This Row],[Largo]]</f>
        <v>2540</v>
      </c>
      <c r="G12" s="6">
        <f>+Tabla1[[#This Row],[Ancho]]-Tabla1[[#This Row],[CORTE BANDA]]</f>
        <v>3570</v>
      </c>
    </row>
    <row r="13" spans="1:7" x14ac:dyDescent="0.25">
      <c r="A13" s="2" t="s">
        <v>24</v>
      </c>
      <c r="B13" s="1" t="s">
        <v>25</v>
      </c>
      <c r="C13" s="1">
        <v>2400</v>
      </c>
      <c r="D13" s="1">
        <v>3210</v>
      </c>
      <c r="E13" s="1">
        <v>20</v>
      </c>
      <c r="F13" s="5">
        <f>+Tabla1[[#This Row],[Largo]]</f>
        <v>2400</v>
      </c>
      <c r="G13" s="6">
        <f>+Tabla1[[#This Row],[Ancho]]-Tabla1[[#This Row],[CORTE BANDA]]</f>
        <v>3190</v>
      </c>
    </row>
    <row r="14" spans="1:7" x14ac:dyDescent="0.25">
      <c r="A14" s="2" t="s">
        <v>26</v>
      </c>
      <c r="B14" s="1" t="s">
        <v>27</v>
      </c>
      <c r="C14" s="1">
        <v>2400</v>
      </c>
      <c r="D14" s="1">
        <v>3210</v>
      </c>
      <c r="E14" s="1">
        <v>20</v>
      </c>
      <c r="F14" s="5">
        <f>+Tabla1[[#This Row],[Largo]]</f>
        <v>2400</v>
      </c>
      <c r="G14" s="6">
        <f>+Tabla1[[#This Row],[Ancho]]-Tabla1[[#This Row],[CORTE BANDA]]</f>
        <v>3190</v>
      </c>
    </row>
    <row r="15" spans="1:7" x14ac:dyDescent="0.25">
      <c r="A15" s="2" t="s">
        <v>28</v>
      </c>
      <c r="B15" s="1" t="s">
        <v>29</v>
      </c>
      <c r="C15" s="1">
        <v>2400</v>
      </c>
      <c r="D15" s="1">
        <v>3210</v>
      </c>
      <c r="E15" s="1">
        <v>20</v>
      </c>
      <c r="F15" s="5">
        <f>+Tabla1[[#This Row],[Largo]]</f>
        <v>2400</v>
      </c>
      <c r="G15" s="6">
        <f>+Tabla1[[#This Row],[Ancho]]-Tabla1[[#This Row],[CORTE BANDA]]</f>
        <v>3190</v>
      </c>
    </row>
    <row r="16" spans="1:7" x14ac:dyDescent="0.25">
      <c r="A16" s="2" t="s">
        <v>30</v>
      </c>
      <c r="B16" s="1" t="s">
        <v>31</v>
      </c>
      <c r="C16" s="1">
        <v>2400</v>
      </c>
      <c r="D16" s="1">
        <v>3210</v>
      </c>
      <c r="E16" s="1">
        <v>20</v>
      </c>
      <c r="F16" s="5">
        <f>+Tabla1[[#This Row],[Largo]]</f>
        <v>2400</v>
      </c>
      <c r="G16" s="6">
        <f>+Tabla1[[#This Row],[Ancho]]-Tabla1[[#This Row],[CORTE BANDA]]</f>
        <v>3190</v>
      </c>
    </row>
    <row r="17" spans="1:7" x14ac:dyDescent="0.25">
      <c r="A17" s="2" t="s">
        <v>32</v>
      </c>
      <c r="B17" s="1" t="s">
        <v>33</v>
      </c>
      <c r="C17" s="1">
        <v>2400</v>
      </c>
      <c r="D17" s="1">
        <v>3210</v>
      </c>
      <c r="E17" s="1">
        <v>20</v>
      </c>
      <c r="F17" s="5">
        <f>+Tabla1[[#This Row],[Largo]]</f>
        <v>2400</v>
      </c>
      <c r="G17" s="6">
        <f>+Tabla1[[#This Row],[Ancho]]-Tabla1[[#This Row],[CORTE BANDA]]</f>
        <v>3190</v>
      </c>
    </row>
    <row r="18" spans="1:7" x14ac:dyDescent="0.25">
      <c r="A18" s="2" t="s">
        <v>32</v>
      </c>
      <c r="B18" s="1" t="s">
        <v>33</v>
      </c>
      <c r="C18" s="1">
        <v>2540</v>
      </c>
      <c r="D18" s="1">
        <v>3210</v>
      </c>
      <c r="E18" s="1">
        <v>20</v>
      </c>
      <c r="F18" s="5">
        <f>+Tabla1[[#This Row],[Largo]]</f>
        <v>2540</v>
      </c>
      <c r="G18" s="6">
        <f>+Tabla1[[#This Row],[Ancho]]-Tabla1[[#This Row],[CORTE BANDA]]</f>
        <v>3190</v>
      </c>
    </row>
    <row r="19" spans="1:7" x14ac:dyDescent="0.25">
      <c r="A19" s="2" t="s">
        <v>34</v>
      </c>
      <c r="B19" s="1" t="s">
        <v>35</v>
      </c>
      <c r="C19" s="1">
        <v>2400</v>
      </c>
      <c r="D19" s="1">
        <v>3210</v>
      </c>
      <c r="E19" s="1">
        <v>20</v>
      </c>
      <c r="F19" s="5">
        <f>+Tabla1[[#This Row],[Largo]]</f>
        <v>2400</v>
      </c>
      <c r="G19" s="6">
        <f>+Tabla1[[#This Row],[Ancho]]-Tabla1[[#This Row],[CORTE BANDA]]</f>
        <v>3190</v>
      </c>
    </row>
    <row r="20" spans="1:7" x14ac:dyDescent="0.25">
      <c r="A20" s="2" t="s">
        <v>36</v>
      </c>
      <c r="B20" s="1" t="s">
        <v>37</v>
      </c>
      <c r="C20" s="1">
        <v>2500</v>
      </c>
      <c r="D20" s="1">
        <v>3600</v>
      </c>
      <c r="E20" s="1">
        <v>20</v>
      </c>
      <c r="F20" s="5">
        <f>+Tabla1[[#This Row],[Largo]]</f>
        <v>2500</v>
      </c>
      <c r="G20" s="6">
        <f>+Tabla1[[#This Row],[Ancho]]-Tabla1[[#This Row],[CORTE BANDA]]</f>
        <v>3580</v>
      </c>
    </row>
    <row r="21" spans="1:7" x14ac:dyDescent="0.25">
      <c r="A21" s="2" t="s">
        <v>38</v>
      </c>
      <c r="B21" s="1" t="s">
        <v>39</v>
      </c>
      <c r="C21" s="1">
        <v>2440</v>
      </c>
      <c r="D21" s="1">
        <v>3300</v>
      </c>
      <c r="E21" s="1">
        <v>20</v>
      </c>
      <c r="F21" s="5">
        <f>+Tabla1[[#This Row],[Largo]]</f>
        <v>2440</v>
      </c>
      <c r="G21" s="6">
        <f>+Tabla1[[#This Row],[Ancho]]-Tabla1[[#This Row],[CORTE BANDA]]</f>
        <v>3280</v>
      </c>
    </row>
    <row r="22" spans="1:7" x14ac:dyDescent="0.25">
      <c r="A22" s="2" t="s">
        <v>40</v>
      </c>
      <c r="B22" s="1" t="s">
        <v>41</v>
      </c>
      <c r="C22" s="1">
        <v>2440</v>
      </c>
      <c r="D22" s="1">
        <v>3300</v>
      </c>
      <c r="E22" s="1">
        <v>20</v>
      </c>
      <c r="F22" s="5">
        <f>+Tabla1[[#This Row],[Largo]]</f>
        <v>2440</v>
      </c>
      <c r="G22" s="6">
        <f>+Tabla1[[#This Row],[Ancho]]-Tabla1[[#This Row],[CORTE BANDA]]</f>
        <v>3280</v>
      </c>
    </row>
    <row r="23" spans="1:7" x14ac:dyDescent="0.25">
      <c r="A23" s="2" t="s">
        <v>42</v>
      </c>
      <c r="B23" s="1" t="s">
        <v>43</v>
      </c>
      <c r="C23" s="1">
        <v>2440</v>
      </c>
      <c r="D23" s="1">
        <v>3300</v>
      </c>
      <c r="E23" s="1">
        <v>20</v>
      </c>
      <c r="F23" s="5">
        <f>+Tabla1[[#This Row],[Largo]]</f>
        <v>2440</v>
      </c>
      <c r="G23" s="6">
        <f>+Tabla1[[#This Row],[Ancho]]-Tabla1[[#This Row],[CORTE BANDA]]</f>
        <v>3280</v>
      </c>
    </row>
    <row r="24" spans="1:7" x14ac:dyDescent="0.25">
      <c r="A24" s="2" t="s">
        <v>44</v>
      </c>
      <c r="B24" s="1" t="s">
        <v>45</v>
      </c>
      <c r="C24" s="1">
        <v>2440</v>
      </c>
      <c r="D24" s="1">
        <v>3300</v>
      </c>
      <c r="E24" s="1">
        <v>20</v>
      </c>
      <c r="F24" s="5">
        <f>+Tabla1[[#This Row],[Largo]]</f>
        <v>2440</v>
      </c>
      <c r="G24" s="6">
        <f>+Tabla1[[#This Row],[Ancho]]-Tabla1[[#This Row],[CORTE BANDA]]</f>
        <v>3280</v>
      </c>
    </row>
    <row r="25" spans="1:7" x14ac:dyDescent="0.25">
      <c r="A25" s="2" t="s">
        <v>46</v>
      </c>
      <c r="B25" s="1" t="s">
        <v>47</v>
      </c>
      <c r="C25" s="1">
        <v>2500</v>
      </c>
      <c r="D25" s="1">
        <v>3600</v>
      </c>
      <c r="E25" s="1">
        <v>50</v>
      </c>
      <c r="F25" s="5">
        <f>+Tabla1[[#This Row],[Largo]]</f>
        <v>2500</v>
      </c>
      <c r="G25" s="6">
        <f>+Tabla1[[#This Row],[Ancho]]-Tabla1[[#This Row],[CORTE BANDA]]</f>
        <v>3550</v>
      </c>
    </row>
    <row r="26" spans="1:7" x14ac:dyDescent="0.25">
      <c r="A26" s="2" t="s">
        <v>48</v>
      </c>
      <c r="B26" s="1" t="s">
        <v>49</v>
      </c>
      <c r="C26" s="1">
        <v>2050</v>
      </c>
      <c r="D26" s="1">
        <v>3050</v>
      </c>
      <c r="E26" s="1">
        <v>50</v>
      </c>
      <c r="F26" s="5">
        <f>+Tabla1[[#This Row],[Largo]]</f>
        <v>2050</v>
      </c>
      <c r="G26" s="6">
        <f>+Tabla1[[#This Row],[Ancho]]-Tabla1[[#This Row],[CORTE BANDA]]</f>
        <v>3000</v>
      </c>
    </row>
    <row r="27" spans="1:7" x14ac:dyDescent="0.25">
      <c r="A27" s="2" t="s">
        <v>48</v>
      </c>
      <c r="B27" s="1" t="s">
        <v>49</v>
      </c>
      <c r="C27" s="1">
        <v>2200</v>
      </c>
      <c r="D27" s="1">
        <v>3700</v>
      </c>
      <c r="E27" s="1">
        <v>50</v>
      </c>
      <c r="F27" s="5">
        <f>+Tabla1[[#This Row],[Largo]]</f>
        <v>2200</v>
      </c>
      <c r="G27" s="6">
        <f>+Tabla1[[#This Row],[Ancho]]-Tabla1[[#This Row],[CORTE BANDA]]</f>
        <v>3650</v>
      </c>
    </row>
    <row r="28" spans="1:7" x14ac:dyDescent="0.25">
      <c r="A28" s="2" t="s">
        <v>48</v>
      </c>
      <c r="B28" s="1" t="s">
        <v>49</v>
      </c>
      <c r="C28" s="1">
        <v>2500</v>
      </c>
      <c r="D28" s="1">
        <v>3700</v>
      </c>
      <c r="E28" s="1">
        <v>50</v>
      </c>
      <c r="F28" s="5">
        <f>+Tabla1[[#This Row],[Largo]]</f>
        <v>2500</v>
      </c>
      <c r="G28" s="6">
        <f>+Tabla1[[#This Row],[Ancho]]-Tabla1[[#This Row],[CORTE BANDA]]</f>
        <v>3650</v>
      </c>
    </row>
    <row r="29" spans="1:7" x14ac:dyDescent="0.25">
      <c r="A29" s="2" t="s">
        <v>50</v>
      </c>
      <c r="B29" s="1" t="s">
        <v>51</v>
      </c>
      <c r="C29" s="1">
        <v>2500</v>
      </c>
      <c r="D29" s="1">
        <v>3600</v>
      </c>
      <c r="E29" s="1">
        <v>20</v>
      </c>
      <c r="F29" s="5">
        <f>+Tabla1[[#This Row],[Largo]]</f>
        <v>2500</v>
      </c>
      <c r="G29" s="6">
        <f>+Tabla1[[#This Row],[Ancho]]-Tabla1[[#This Row],[CORTE BANDA]]</f>
        <v>3580</v>
      </c>
    </row>
    <row r="30" spans="1:7" x14ac:dyDescent="0.25">
      <c r="A30" s="2" t="s">
        <v>50</v>
      </c>
      <c r="B30" s="1" t="s">
        <v>51</v>
      </c>
      <c r="C30" s="1">
        <v>2200</v>
      </c>
      <c r="D30" s="1">
        <v>3600</v>
      </c>
      <c r="E30" s="1">
        <v>20</v>
      </c>
      <c r="F30" s="5">
        <f>+Tabla1[[#This Row],[Largo]]</f>
        <v>2200</v>
      </c>
      <c r="G30" s="6">
        <f>+Tabla1[[#This Row],[Ancho]]-Tabla1[[#This Row],[CORTE BANDA]]</f>
        <v>3580</v>
      </c>
    </row>
    <row r="31" spans="1:7" x14ac:dyDescent="0.25">
      <c r="A31" s="2" t="s">
        <v>52</v>
      </c>
      <c r="B31" s="1" t="s">
        <v>53</v>
      </c>
      <c r="C31" s="1">
        <v>2440</v>
      </c>
      <c r="D31" s="1">
        <v>3660</v>
      </c>
      <c r="E31" s="1">
        <v>20</v>
      </c>
      <c r="F31" s="5">
        <f>+Tabla1[[#This Row],[Largo]]</f>
        <v>2440</v>
      </c>
      <c r="G31" s="6">
        <f>+Tabla1[[#This Row],[Ancho]]-Tabla1[[#This Row],[CORTE BANDA]]</f>
        <v>3640</v>
      </c>
    </row>
    <row r="32" spans="1:7" x14ac:dyDescent="0.25">
      <c r="A32" s="2" t="s">
        <v>54</v>
      </c>
      <c r="B32" s="1" t="s">
        <v>55</v>
      </c>
      <c r="C32" s="1">
        <v>2400</v>
      </c>
      <c r="D32" s="1">
        <v>3210</v>
      </c>
      <c r="E32" s="1">
        <v>20</v>
      </c>
      <c r="F32" s="5">
        <f>+Tabla1[[#This Row],[Largo]]</f>
        <v>2400</v>
      </c>
      <c r="G32" s="6">
        <f>+Tabla1[[#This Row],[Ancho]]-Tabla1[[#This Row],[CORTE BANDA]]</f>
        <v>3190</v>
      </c>
    </row>
    <row r="33" spans="1:7" x14ac:dyDescent="0.25">
      <c r="A33" s="2" t="s">
        <v>56</v>
      </c>
      <c r="B33" s="1" t="s">
        <v>57</v>
      </c>
      <c r="C33" s="1">
        <v>2500</v>
      </c>
      <c r="D33" s="1">
        <v>3600</v>
      </c>
      <c r="E33" s="1">
        <v>20</v>
      </c>
      <c r="F33" s="5">
        <f>+Tabla1[[#This Row],[Largo]]</f>
        <v>2500</v>
      </c>
      <c r="G33" s="6">
        <f>+Tabla1[[#This Row],[Ancho]]-Tabla1[[#This Row],[CORTE BANDA]]</f>
        <v>3580</v>
      </c>
    </row>
    <row r="34" spans="1:7" x14ac:dyDescent="0.25">
      <c r="A34" s="2" t="s">
        <v>56</v>
      </c>
      <c r="B34" s="1" t="s">
        <v>57</v>
      </c>
      <c r="C34" s="1">
        <v>2200</v>
      </c>
      <c r="D34" s="1">
        <v>3600</v>
      </c>
      <c r="E34" s="1">
        <v>20</v>
      </c>
      <c r="F34" s="5">
        <f>+Tabla1[[#This Row],[Largo]]</f>
        <v>2200</v>
      </c>
      <c r="G34" s="6">
        <f>+Tabla1[[#This Row],[Ancho]]-Tabla1[[#This Row],[CORTE BANDA]]</f>
        <v>3580</v>
      </c>
    </row>
    <row r="35" spans="1:7" x14ac:dyDescent="0.25">
      <c r="A35" s="2" t="s">
        <v>56</v>
      </c>
      <c r="B35" s="1" t="s">
        <v>57</v>
      </c>
      <c r="C35" s="1">
        <v>2440</v>
      </c>
      <c r="D35" s="1">
        <v>3300</v>
      </c>
      <c r="E35" s="1">
        <v>20</v>
      </c>
      <c r="F35" s="5">
        <f>+Tabla1[[#This Row],[Largo]]</f>
        <v>2440</v>
      </c>
      <c r="G35" s="6">
        <f>+Tabla1[[#This Row],[Ancho]]-Tabla1[[#This Row],[CORTE BANDA]]</f>
        <v>3280</v>
      </c>
    </row>
    <row r="36" spans="1:7" x14ac:dyDescent="0.25">
      <c r="A36" s="2" t="s">
        <v>58</v>
      </c>
      <c r="B36" s="1" t="s">
        <v>59</v>
      </c>
      <c r="C36" s="1">
        <v>2500</v>
      </c>
      <c r="D36" s="1">
        <v>3600</v>
      </c>
      <c r="E36" s="1">
        <v>20</v>
      </c>
      <c r="F36" s="5">
        <f>+Tabla1[[#This Row],[Largo]]</f>
        <v>2500</v>
      </c>
      <c r="G36" s="6">
        <f>+Tabla1[[#This Row],[Ancho]]-Tabla1[[#This Row],[CORTE BANDA]]</f>
        <v>3580</v>
      </c>
    </row>
    <row r="37" spans="1:7" x14ac:dyDescent="0.25">
      <c r="A37" s="2" t="s">
        <v>60</v>
      </c>
      <c r="B37" s="1" t="s">
        <v>61</v>
      </c>
      <c r="C37" s="1">
        <v>2500</v>
      </c>
      <c r="D37" s="1">
        <v>3600</v>
      </c>
      <c r="E37" s="1">
        <v>20</v>
      </c>
      <c r="F37" s="5">
        <f>+Tabla1[[#This Row],[Largo]]</f>
        <v>2500</v>
      </c>
      <c r="G37" s="6">
        <f>+Tabla1[[#This Row],[Ancho]]-Tabla1[[#This Row],[CORTE BANDA]]</f>
        <v>3580</v>
      </c>
    </row>
    <row r="38" spans="1:7" x14ac:dyDescent="0.25">
      <c r="A38" s="2" t="s">
        <v>62</v>
      </c>
      <c r="B38" s="1" t="s">
        <v>63</v>
      </c>
      <c r="C38" s="1">
        <v>2500</v>
      </c>
      <c r="D38" s="1">
        <v>3600</v>
      </c>
      <c r="E38" s="1">
        <v>20</v>
      </c>
      <c r="F38" s="5">
        <f>+Tabla1[[#This Row],[Largo]]</f>
        <v>2500</v>
      </c>
      <c r="G38" s="6">
        <f>+Tabla1[[#This Row],[Ancho]]-Tabla1[[#This Row],[CORTE BANDA]]</f>
        <v>3580</v>
      </c>
    </row>
    <row r="39" spans="1:7" x14ac:dyDescent="0.25">
      <c r="A39" s="2" t="s">
        <v>64</v>
      </c>
      <c r="B39" s="1" t="s">
        <v>65</v>
      </c>
      <c r="C39" s="1">
        <v>2500</v>
      </c>
      <c r="D39" s="1">
        <v>3600</v>
      </c>
      <c r="E39" s="1">
        <v>20</v>
      </c>
      <c r="F39" s="5">
        <f>+Tabla1[[#This Row],[Largo]]</f>
        <v>2500</v>
      </c>
      <c r="G39" s="6">
        <f>+Tabla1[[#This Row],[Ancho]]-Tabla1[[#This Row],[CORTE BANDA]]</f>
        <v>3580</v>
      </c>
    </row>
    <row r="40" spans="1:7" x14ac:dyDescent="0.25">
      <c r="A40" s="2" t="s">
        <v>66</v>
      </c>
      <c r="B40" s="1" t="s">
        <v>67</v>
      </c>
      <c r="C40" s="1">
        <v>2500</v>
      </c>
      <c r="D40" s="1">
        <v>3600</v>
      </c>
      <c r="E40" s="1">
        <v>20</v>
      </c>
      <c r="F40" s="5">
        <f>+Tabla1[[#This Row],[Largo]]</f>
        <v>2500</v>
      </c>
      <c r="G40" s="6">
        <f>+Tabla1[[#This Row],[Ancho]]-Tabla1[[#This Row],[CORTE BANDA]]</f>
        <v>3580</v>
      </c>
    </row>
    <row r="41" spans="1:7" x14ac:dyDescent="0.25">
      <c r="A41" s="2" t="s">
        <v>68</v>
      </c>
      <c r="B41" s="1" t="s">
        <v>69</v>
      </c>
      <c r="C41" s="1">
        <v>2500</v>
      </c>
      <c r="D41" s="1">
        <v>3600</v>
      </c>
      <c r="E41" s="1">
        <v>20</v>
      </c>
      <c r="F41" s="5">
        <f>+Tabla1[[#This Row],[Largo]]</f>
        <v>2500</v>
      </c>
      <c r="G41" s="6">
        <f>+Tabla1[[#This Row],[Ancho]]-Tabla1[[#This Row],[CORTE BANDA]]</f>
        <v>3580</v>
      </c>
    </row>
    <row r="42" spans="1:7" x14ac:dyDescent="0.25">
      <c r="A42" s="2" t="s">
        <v>70</v>
      </c>
      <c r="B42" s="1" t="s">
        <v>71</v>
      </c>
      <c r="C42" s="1">
        <v>2500</v>
      </c>
      <c r="D42" s="1">
        <v>3600</v>
      </c>
      <c r="E42" s="1">
        <v>20</v>
      </c>
      <c r="F42" s="5">
        <f>+Tabla1[[#This Row],[Largo]]</f>
        <v>2500</v>
      </c>
      <c r="G42" s="6">
        <f>+Tabla1[[#This Row],[Ancho]]-Tabla1[[#This Row],[CORTE BANDA]]</f>
        <v>3580</v>
      </c>
    </row>
    <row r="43" spans="1:7" x14ac:dyDescent="0.25">
      <c r="A43" s="2" t="s">
        <v>72</v>
      </c>
      <c r="B43" s="1" t="s">
        <v>73</v>
      </c>
      <c r="C43" s="1">
        <v>2200</v>
      </c>
      <c r="D43" s="1">
        <v>3600</v>
      </c>
      <c r="E43" s="1">
        <v>30</v>
      </c>
      <c r="F43" s="5">
        <f>+Tabla1[[#This Row],[Largo]]</f>
        <v>2200</v>
      </c>
      <c r="G43" s="6">
        <f>+Tabla1[[#This Row],[Ancho]]-Tabla1[[#This Row],[CORTE BANDA]]</f>
        <v>3570</v>
      </c>
    </row>
    <row r="44" spans="1:7" x14ac:dyDescent="0.25">
      <c r="A44" s="2" t="s">
        <v>74</v>
      </c>
      <c r="B44" s="1" t="s">
        <v>75</v>
      </c>
      <c r="C44" s="1">
        <v>2500</v>
      </c>
      <c r="D44" s="1">
        <v>3600</v>
      </c>
      <c r="E44" s="1">
        <v>30</v>
      </c>
      <c r="F44" s="5">
        <f>+Tabla1[[#This Row],[Largo]]</f>
        <v>2500</v>
      </c>
      <c r="G44" s="6">
        <f>+Tabla1[[#This Row],[Ancho]]-Tabla1[[#This Row],[CORTE BANDA]]</f>
        <v>3570</v>
      </c>
    </row>
    <row r="45" spans="1:7" x14ac:dyDescent="0.25">
      <c r="A45" s="2" t="s">
        <v>76</v>
      </c>
      <c r="B45" s="1" t="s">
        <v>77</v>
      </c>
      <c r="C45" s="1">
        <v>2500</v>
      </c>
      <c r="D45" s="1">
        <v>3600</v>
      </c>
      <c r="E45" s="1">
        <v>30</v>
      </c>
      <c r="F45" s="5">
        <f>+Tabla1[[#This Row],[Largo]]</f>
        <v>2500</v>
      </c>
      <c r="G45" s="6">
        <f>+Tabla1[[#This Row],[Ancho]]-Tabla1[[#This Row],[CORTE BANDA]]</f>
        <v>3570</v>
      </c>
    </row>
    <row r="46" spans="1:7" x14ac:dyDescent="0.25">
      <c r="A46" s="2" t="s">
        <v>78</v>
      </c>
      <c r="B46" s="1" t="s">
        <v>79</v>
      </c>
      <c r="C46" s="1">
        <v>1600</v>
      </c>
      <c r="D46" s="1">
        <v>2500</v>
      </c>
      <c r="E46" s="1">
        <v>20</v>
      </c>
      <c r="F46" s="5">
        <f>+Tabla1[[#This Row],[Largo]]</f>
        <v>1600</v>
      </c>
      <c r="G46" s="6">
        <f>+Tabla1[[#This Row],[Ancho]]-Tabla1[[#This Row],[CORTE BANDA]]</f>
        <v>2480</v>
      </c>
    </row>
    <row r="47" spans="1:7" x14ac:dyDescent="0.25">
      <c r="A47" s="2" t="s">
        <v>82</v>
      </c>
      <c r="B47" s="1" t="s">
        <v>83</v>
      </c>
      <c r="C47" s="1">
        <v>2440</v>
      </c>
      <c r="D47" s="1">
        <v>3300</v>
      </c>
      <c r="E47" s="1">
        <v>20</v>
      </c>
      <c r="F47" s="5">
        <f>+Tabla1[[#This Row],[Largo]]</f>
        <v>2440</v>
      </c>
      <c r="G47" s="6">
        <f>+Tabla1[[#This Row],[Ancho]]-Tabla1[[#This Row],[CORTE BANDA]]</f>
        <v>3280</v>
      </c>
    </row>
    <row r="48" spans="1:7" x14ac:dyDescent="0.25">
      <c r="A48" s="2" t="s">
        <v>84</v>
      </c>
      <c r="B48" s="1" t="s">
        <v>85</v>
      </c>
      <c r="C48" s="1">
        <v>2440</v>
      </c>
      <c r="D48" s="1">
        <v>3300</v>
      </c>
      <c r="E48" s="1">
        <v>20</v>
      </c>
      <c r="F48" s="5">
        <f>+Tabla1[[#This Row],[Largo]]</f>
        <v>2440</v>
      </c>
      <c r="G48" s="6">
        <f>+Tabla1[[#This Row],[Ancho]]-Tabla1[[#This Row],[CORTE BANDA]]</f>
        <v>3280</v>
      </c>
    </row>
    <row r="49" spans="1:7" x14ac:dyDescent="0.25">
      <c r="A49" s="2" t="s">
        <v>86</v>
      </c>
      <c r="B49" s="1" t="s">
        <v>87</v>
      </c>
      <c r="C49" s="1">
        <v>2500</v>
      </c>
      <c r="D49" s="1">
        <v>3700</v>
      </c>
      <c r="E49" s="1">
        <v>50</v>
      </c>
      <c r="F49" s="5">
        <f>+Tabla1[[#This Row],[Largo]]</f>
        <v>2500</v>
      </c>
      <c r="G49" s="6">
        <f>+Tabla1[[#This Row],[Ancho]]-Tabla1[[#This Row],[CORTE BANDA]]</f>
        <v>3650</v>
      </c>
    </row>
    <row r="50" spans="1:7" x14ac:dyDescent="0.25">
      <c r="A50" s="2" t="s">
        <v>88</v>
      </c>
      <c r="B50" s="1" t="s">
        <v>89</v>
      </c>
      <c r="C50" s="1">
        <v>2500</v>
      </c>
      <c r="D50" s="1">
        <v>3600</v>
      </c>
      <c r="E50" s="1">
        <v>20</v>
      </c>
      <c r="F50" s="5">
        <f>+Tabla1[[#This Row],[Largo]]</f>
        <v>2500</v>
      </c>
      <c r="G50" s="6">
        <f>+Tabla1[[#This Row],[Ancho]]-Tabla1[[#This Row],[CORTE BANDA]]</f>
        <v>3580</v>
      </c>
    </row>
    <row r="51" spans="1:7" x14ac:dyDescent="0.25">
      <c r="A51" s="2" t="s">
        <v>90</v>
      </c>
      <c r="B51" s="1" t="s">
        <v>91</v>
      </c>
      <c r="C51" s="1">
        <v>2500</v>
      </c>
      <c r="D51" s="1">
        <v>3210</v>
      </c>
      <c r="E51" s="1">
        <v>30</v>
      </c>
      <c r="F51" s="5">
        <f>+Tabla1[[#This Row],[Largo]]</f>
        <v>2500</v>
      </c>
      <c r="G51" s="6">
        <f>+Tabla1[[#This Row],[Ancho]]-Tabla1[[#This Row],[CORTE BANDA]]</f>
        <v>3180</v>
      </c>
    </row>
    <row r="52" spans="1:7" x14ac:dyDescent="0.25">
      <c r="A52" s="2" t="s">
        <v>90</v>
      </c>
      <c r="B52" s="1" t="s">
        <v>91</v>
      </c>
      <c r="C52" s="1">
        <v>2500</v>
      </c>
      <c r="D52" s="1">
        <v>3600</v>
      </c>
      <c r="E52" s="1">
        <v>30</v>
      </c>
      <c r="F52" s="5">
        <f>+Tabla1[[#This Row],[Largo]]</f>
        <v>2500</v>
      </c>
      <c r="G52" s="6">
        <f>+Tabla1[[#This Row],[Ancho]]-Tabla1[[#This Row],[CORTE BANDA]]</f>
        <v>3570</v>
      </c>
    </row>
    <row r="53" spans="1:7" x14ac:dyDescent="0.25">
      <c r="A53" s="2" t="s">
        <v>92</v>
      </c>
      <c r="B53" s="1" t="s">
        <v>93</v>
      </c>
      <c r="C53" s="1">
        <v>2500</v>
      </c>
      <c r="D53" s="1">
        <v>3600</v>
      </c>
      <c r="E53" s="1">
        <v>20</v>
      </c>
      <c r="F53" s="5">
        <f>+Tabla1[[#This Row],[Largo]]</f>
        <v>2500</v>
      </c>
      <c r="G53" s="6">
        <f>+Tabla1[[#This Row],[Ancho]]-Tabla1[[#This Row],[CORTE BANDA]]</f>
        <v>3580</v>
      </c>
    </row>
    <row r="54" spans="1:7" x14ac:dyDescent="0.25">
      <c r="A54" s="2" t="s">
        <v>94</v>
      </c>
      <c r="B54" s="1" t="s">
        <v>95</v>
      </c>
      <c r="C54" s="1">
        <v>2500</v>
      </c>
      <c r="D54" s="1">
        <v>3600</v>
      </c>
      <c r="E54" s="1">
        <v>20</v>
      </c>
      <c r="F54" s="5">
        <f>+Tabla1[[#This Row],[Largo]]</f>
        <v>2500</v>
      </c>
      <c r="G54" s="6">
        <f>+Tabla1[[#This Row],[Ancho]]-Tabla1[[#This Row],[CORTE BANDA]]</f>
        <v>3580</v>
      </c>
    </row>
    <row r="55" spans="1:7" x14ac:dyDescent="0.25">
      <c r="A55" s="2" t="s">
        <v>96</v>
      </c>
      <c r="B55" s="1" t="s">
        <v>97</v>
      </c>
      <c r="C55" s="1">
        <v>2500</v>
      </c>
      <c r="D55" s="1">
        <v>3600</v>
      </c>
      <c r="E55" s="1">
        <v>20</v>
      </c>
      <c r="F55" s="5">
        <f>+Tabla1[[#This Row],[Largo]]</f>
        <v>2500</v>
      </c>
      <c r="G55" s="6">
        <f>+Tabla1[[#This Row],[Ancho]]-Tabla1[[#This Row],[CORTE BANDA]]</f>
        <v>3580</v>
      </c>
    </row>
    <row r="56" spans="1:7" x14ac:dyDescent="0.25">
      <c r="A56" s="2" t="s">
        <v>98</v>
      </c>
      <c r="B56" s="1" t="s">
        <v>99</v>
      </c>
      <c r="C56" s="1">
        <v>2250</v>
      </c>
      <c r="D56" s="1">
        <v>3210</v>
      </c>
      <c r="E56" s="1">
        <v>20</v>
      </c>
      <c r="F56" s="5">
        <f>+Tabla1[[#This Row],[Largo]]</f>
        <v>2250</v>
      </c>
      <c r="G56" s="6">
        <f>+Tabla1[[#This Row],[Ancho]]-Tabla1[[#This Row],[CORTE BANDA]]</f>
        <v>3190</v>
      </c>
    </row>
    <row r="57" spans="1:7" x14ac:dyDescent="0.25">
      <c r="A57" s="2" t="s">
        <v>100</v>
      </c>
      <c r="B57" s="1" t="s">
        <v>101</v>
      </c>
      <c r="C57" s="1">
        <v>2500</v>
      </c>
      <c r="D57" s="1">
        <v>3600</v>
      </c>
      <c r="E57" s="1">
        <v>20</v>
      </c>
      <c r="F57" s="5">
        <f>+Tabla1[[#This Row],[Largo]]</f>
        <v>2500</v>
      </c>
      <c r="G57" s="6">
        <f>+Tabla1[[#This Row],[Ancho]]-Tabla1[[#This Row],[CORTE BANDA]]</f>
        <v>3580</v>
      </c>
    </row>
    <row r="58" spans="1:7" x14ac:dyDescent="0.25">
      <c r="A58" s="2" t="s">
        <v>102</v>
      </c>
      <c r="B58" s="1" t="s">
        <v>103</v>
      </c>
      <c r="C58" s="1">
        <v>2500</v>
      </c>
      <c r="D58" s="1">
        <v>3600</v>
      </c>
      <c r="E58" s="1">
        <v>20</v>
      </c>
      <c r="F58" s="5">
        <f>+Tabla1[[#This Row],[Largo]]</f>
        <v>2500</v>
      </c>
      <c r="G58" s="6">
        <f>+Tabla1[[#This Row],[Ancho]]-Tabla1[[#This Row],[CORTE BANDA]]</f>
        <v>3580</v>
      </c>
    </row>
    <row r="59" spans="1:7" x14ac:dyDescent="0.25">
      <c r="A59" s="2" t="s">
        <v>104</v>
      </c>
      <c r="B59" s="1" t="s">
        <v>105</v>
      </c>
      <c r="C59" s="1">
        <v>2500</v>
      </c>
      <c r="D59" s="1">
        <v>3600</v>
      </c>
      <c r="E59" s="1">
        <v>20</v>
      </c>
      <c r="F59" s="5">
        <f>+Tabla1[[#This Row],[Largo]]</f>
        <v>2500</v>
      </c>
      <c r="G59" s="6">
        <f>+Tabla1[[#This Row],[Ancho]]-Tabla1[[#This Row],[CORTE BANDA]]</f>
        <v>3580</v>
      </c>
    </row>
    <row r="60" spans="1:7" x14ac:dyDescent="0.25">
      <c r="A60" s="2" t="s">
        <v>106</v>
      </c>
      <c r="B60" s="1" t="s">
        <v>107</v>
      </c>
      <c r="C60" s="1">
        <v>2130</v>
      </c>
      <c r="D60" s="1">
        <v>3310</v>
      </c>
      <c r="E60" s="1">
        <v>20</v>
      </c>
      <c r="F60" s="5">
        <f>+Tabla1[[#This Row],[Largo]]</f>
        <v>2130</v>
      </c>
      <c r="G60" s="6">
        <f>+Tabla1[[#This Row],[Ancho]]-Tabla1[[#This Row],[CORTE BANDA]]</f>
        <v>3290</v>
      </c>
    </row>
    <row r="61" spans="1:7" x14ac:dyDescent="0.25">
      <c r="A61" s="2" t="s">
        <v>108</v>
      </c>
      <c r="B61" s="1" t="s">
        <v>109</v>
      </c>
      <c r="C61" s="1">
        <v>2440</v>
      </c>
      <c r="D61" s="1">
        <v>3300</v>
      </c>
      <c r="E61" s="1">
        <v>20</v>
      </c>
      <c r="F61" s="5">
        <f>+Tabla1[[#This Row],[Largo]]</f>
        <v>2440</v>
      </c>
      <c r="G61" s="6">
        <f>+Tabla1[[#This Row],[Ancho]]-Tabla1[[#This Row],[CORTE BANDA]]</f>
        <v>3280</v>
      </c>
    </row>
    <row r="62" spans="1:7" x14ac:dyDescent="0.25">
      <c r="A62" s="2" t="s">
        <v>110</v>
      </c>
      <c r="B62" s="1" t="s">
        <v>111</v>
      </c>
      <c r="C62" s="1">
        <v>2440</v>
      </c>
      <c r="D62" s="1">
        <v>3300</v>
      </c>
      <c r="E62" s="1">
        <v>20</v>
      </c>
      <c r="F62" s="5">
        <f>+Tabla1[[#This Row],[Largo]]</f>
        <v>2440</v>
      </c>
      <c r="G62" s="6">
        <f>+Tabla1[[#This Row],[Ancho]]-Tabla1[[#This Row],[CORTE BANDA]]</f>
        <v>3280</v>
      </c>
    </row>
    <row r="63" spans="1:7" x14ac:dyDescent="0.25">
      <c r="A63" s="2" t="s">
        <v>112</v>
      </c>
      <c r="B63" s="1" t="s">
        <v>113</v>
      </c>
      <c r="C63" s="1">
        <v>2250</v>
      </c>
      <c r="D63" s="1">
        <v>3210</v>
      </c>
      <c r="E63" s="1">
        <v>20</v>
      </c>
      <c r="F63" s="5">
        <f>+Tabla1[[#This Row],[Largo]]</f>
        <v>2250</v>
      </c>
      <c r="G63" s="6">
        <f>+Tabla1[[#This Row],[Ancho]]-Tabla1[[#This Row],[CORTE BANDA]]</f>
        <v>3190</v>
      </c>
    </row>
    <row r="64" spans="1:7" x14ac:dyDescent="0.25">
      <c r="A64" s="2" t="s">
        <v>114</v>
      </c>
      <c r="B64" s="1" t="s">
        <v>115</v>
      </c>
      <c r="C64" s="1">
        <v>2440</v>
      </c>
      <c r="D64" s="1">
        <v>3300</v>
      </c>
      <c r="E64" s="1">
        <v>20</v>
      </c>
      <c r="F64" s="5">
        <f>+Tabla1[[#This Row],[Largo]]</f>
        <v>2440</v>
      </c>
      <c r="G64" s="6">
        <f>+Tabla1[[#This Row],[Ancho]]-Tabla1[[#This Row],[CORTE BANDA]]</f>
        <v>3280</v>
      </c>
    </row>
    <row r="65" spans="1:7" x14ac:dyDescent="0.25">
      <c r="A65" s="2" t="s">
        <v>116</v>
      </c>
      <c r="B65" s="1" t="s">
        <v>117</v>
      </c>
      <c r="C65" s="1">
        <v>2440</v>
      </c>
      <c r="D65" s="1">
        <v>3300</v>
      </c>
      <c r="E65" s="1">
        <v>20</v>
      </c>
      <c r="F65" s="5">
        <f>+Tabla1[[#This Row],[Largo]]</f>
        <v>2440</v>
      </c>
      <c r="G65" s="6">
        <f>+Tabla1[[#This Row],[Ancho]]-Tabla1[[#This Row],[CORTE BANDA]]</f>
        <v>3280</v>
      </c>
    </row>
    <row r="66" spans="1:7" x14ac:dyDescent="0.25">
      <c r="A66" s="2" t="s">
        <v>118</v>
      </c>
      <c r="B66" s="1" t="s">
        <v>119</v>
      </c>
      <c r="C66" s="1">
        <v>2440</v>
      </c>
      <c r="D66" s="1">
        <v>3300</v>
      </c>
      <c r="E66" s="1">
        <v>20</v>
      </c>
      <c r="F66" s="5">
        <f>+Tabla1[[#This Row],[Largo]]</f>
        <v>2440</v>
      </c>
      <c r="G66" s="6">
        <f>+Tabla1[[#This Row],[Ancho]]-Tabla1[[#This Row],[CORTE BANDA]]</f>
        <v>3280</v>
      </c>
    </row>
    <row r="67" spans="1:7" x14ac:dyDescent="0.25">
      <c r="A67" s="3" t="s">
        <v>120</v>
      </c>
      <c r="B67" s="4" t="s">
        <v>121</v>
      </c>
      <c r="C67" s="4">
        <v>2500</v>
      </c>
      <c r="D67" s="4">
        <v>3600</v>
      </c>
      <c r="E67" s="4">
        <v>20</v>
      </c>
      <c r="F67" s="5">
        <f>+Tabla1[[#This Row],[Largo]]</f>
        <v>2500</v>
      </c>
      <c r="G67" s="6">
        <f>+Tabla1[[#This Row],[Ancho]]-Tabla1[[#This Row],[CORTE BANDA]]</f>
        <v>3580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/>
  </sheetViews>
  <sheetFormatPr baseColWidth="10" defaultRowHeight="15" x14ac:dyDescent="0.25"/>
  <cols>
    <col min="1" max="1" width="13.42578125" customWidth="1"/>
    <col min="2" max="2" width="44" customWidth="1"/>
    <col min="5" max="5" width="15.7109375" customWidth="1"/>
    <col min="6" max="6" width="16.28515625" style="9" customWidth="1"/>
    <col min="7" max="7" width="16.7109375" style="9" customWidth="1"/>
  </cols>
  <sheetData>
    <row r="1" spans="1:7" s="14" customFormat="1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122</v>
      </c>
      <c r="F1" s="12" t="s">
        <v>123</v>
      </c>
      <c r="G1" s="13" t="s">
        <v>124</v>
      </c>
    </row>
    <row r="2" spans="1:7" x14ac:dyDescent="0.25">
      <c r="A2" s="2" t="s">
        <v>125</v>
      </c>
      <c r="B2" s="1" t="s">
        <v>126</v>
      </c>
      <c r="C2" s="1">
        <v>2140</v>
      </c>
      <c r="D2" s="1">
        <v>3600</v>
      </c>
      <c r="E2" s="1">
        <v>20</v>
      </c>
      <c r="F2" s="5">
        <f>+Tabla2[[#This Row],[Largo]]</f>
        <v>2140</v>
      </c>
      <c r="G2" s="6">
        <f>+Tabla2[[#This Row],[Ancho]]-Tabla2[[#This Row],[CORTE BANDA]]</f>
        <v>3580</v>
      </c>
    </row>
    <row r="3" spans="1:7" x14ac:dyDescent="0.25">
      <c r="A3" s="2" t="s">
        <v>125</v>
      </c>
      <c r="B3" s="1" t="s">
        <v>126</v>
      </c>
      <c r="C3" s="1">
        <v>2500</v>
      </c>
      <c r="D3" s="1">
        <v>3600</v>
      </c>
      <c r="E3" s="1">
        <v>20</v>
      </c>
      <c r="F3" s="5">
        <f>+Tabla2[[#This Row],[Largo]]</f>
        <v>2500</v>
      </c>
      <c r="G3" s="6">
        <f>+Tabla2[[#This Row],[Ancho]]-Tabla2[[#This Row],[CORTE BANDA]]</f>
        <v>3580</v>
      </c>
    </row>
    <row r="4" spans="1:7" x14ac:dyDescent="0.25">
      <c r="A4" s="2" t="s">
        <v>127</v>
      </c>
      <c r="B4" s="1" t="s">
        <v>128</v>
      </c>
      <c r="C4" s="1">
        <v>2500</v>
      </c>
      <c r="D4" s="1">
        <v>3600</v>
      </c>
      <c r="E4" s="1">
        <v>20</v>
      </c>
      <c r="F4" s="5">
        <f>+Tabla2[[#This Row],[Largo]]</f>
        <v>2500</v>
      </c>
      <c r="G4" s="6">
        <f>+Tabla2[[#This Row],[Ancho]]-Tabla2[[#This Row],[CORTE BANDA]]</f>
        <v>3580</v>
      </c>
    </row>
    <row r="5" spans="1:7" x14ac:dyDescent="0.25">
      <c r="A5" s="2" t="s">
        <v>129</v>
      </c>
      <c r="B5" s="1" t="s">
        <v>130</v>
      </c>
      <c r="C5" s="1">
        <v>2200</v>
      </c>
      <c r="D5" s="1">
        <v>3210</v>
      </c>
      <c r="E5" s="1">
        <v>20</v>
      </c>
      <c r="F5" s="5">
        <f>+Tabla2[[#This Row],[Largo]]</f>
        <v>2200</v>
      </c>
      <c r="G5" s="6">
        <f>+Tabla2[[#This Row],[Ancho]]-Tabla2[[#This Row],[CORTE BANDA]]</f>
        <v>3190</v>
      </c>
    </row>
    <row r="6" spans="1:7" x14ac:dyDescent="0.25">
      <c r="A6" s="2" t="s">
        <v>129</v>
      </c>
      <c r="B6" s="1" t="s">
        <v>130</v>
      </c>
      <c r="C6" s="1">
        <v>2500</v>
      </c>
      <c r="D6" s="1">
        <v>3600</v>
      </c>
      <c r="E6" s="1">
        <v>20</v>
      </c>
      <c r="F6" s="5">
        <f>+Tabla2[[#This Row],[Largo]]</f>
        <v>2500</v>
      </c>
      <c r="G6" s="6">
        <f>+Tabla2[[#This Row],[Ancho]]-Tabla2[[#This Row],[CORTE BANDA]]</f>
        <v>3580</v>
      </c>
    </row>
    <row r="7" spans="1:7" x14ac:dyDescent="0.25">
      <c r="A7" s="2" t="s">
        <v>131</v>
      </c>
      <c r="B7" s="1" t="s">
        <v>132</v>
      </c>
      <c r="C7" s="1">
        <v>2500</v>
      </c>
      <c r="D7" s="1">
        <v>3600</v>
      </c>
      <c r="E7" s="1">
        <v>20</v>
      </c>
      <c r="F7" s="5">
        <f>+Tabla2[[#This Row],[Largo]]</f>
        <v>2500</v>
      </c>
      <c r="G7" s="6">
        <f>+Tabla2[[#This Row],[Ancho]]-Tabla2[[#This Row],[CORTE BANDA]]</f>
        <v>3580</v>
      </c>
    </row>
    <row r="8" spans="1:7" x14ac:dyDescent="0.25">
      <c r="A8" s="2" t="s">
        <v>81</v>
      </c>
      <c r="B8" s="1" t="s">
        <v>80</v>
      </c>
      <c r="C8" s="1">
        <v>2500</v>
      </c>
      <c r="D8" s="1">
        <v>3600</v>
      </c>
      <c r="E8" s="1">
        <v>20</v>
      </c>
      <c r="F8" s="5">
        <f>+Tabla2[[#This Row],[Largo]]</f>
        <v>2500</v>
      </c>
      <c r="G8" s="6">
        <f>+Tabla2[[#This Row],[Ancho]]-Tabla2[[#This Row],[CORTE BANDA]]</f>
        <v>3580</v>
      </c>
    </row>
    <row r="9" spans="1:7" x14ac:dyDescent="0.25">
      <c r="A9" s="2" t="s">
        <v>81</v>
      </c>
      <c r="B9" s="1" t="s">
        <v>80</v>
      </c>
      <c r="C9" s="1">
        <v>2200</v>
      </c>
      <c r="D9" s="1">
        <v>3600</v>
      </c>
      <c r="E9" s="1">
        <v>20</v>
      </c>
      <c r="F9" s="5">
        <f>+Tabla2[[#This Row],[Largo]]</f>
        <v>2200</v>
      </c>
      <c r="G9" s="6">
        <f>+Tabla2[[#This Row],[Ancho]]-Tabla2[[#This Row],[CORTE BANDA]]</f>
        <v>3580</v>
      </c>
    </row>
    <row r="10" spans="1:7" x14ac:dyDescent="0.25">
      <c r="A10" s="2" t="s">
        <v>81</v>
      </c>
      <c r="B10" s="1" t="s">
        <v>80</v>
      </c>
      <c r="C10" s="1">
        <v>2500</v>
      </c>
      <c r="D10" s="1">
        <v>4000</v>
      </c>
      <c r="E10" s="1">
        <v>20</v>
      </c>
      <c r="F10" s="5">
        <f>+Tabla2[[#This Row],[Largo]]</f>
        <v>2500</v>
      </c>
      <c r="G10" s="6">
        <f>+Tabla2[[#This Row],[Ancho]]-Tabla2[[#This Row],[CORTE BANDA]]</f>
        <v>3980</v>
      </c>
    </row>
    <row r="11" spans="1:7" x14ac:dyDescent="0.25">
      <c r="A11" s="2" t="s">
        <v>133</v>
      </c>
      <c r="B11" s="1" t="s">
        <v>134</v>
      </c>
      <c r="C11" s="1">
        <v>2440</v>
      </c>
      <c r="D11" s="1">
        <v>3300</v>
      </c>
      <c r="E11" s="1">
        <v>20</v>
      </c>
      <c r="F11" s="5">
        <f>+Tabla2[[#This Row],[Largo]]</f>
        <v>2440</v>
      </c>
      <c r="G11" s="6">
        <f>+Tabla2[[#This Row],[Ancho]]-Tabla2[[#This Row],[CORTE BANDA]]</f>
        <v>3280</v>
      </c>
    </row>
    <row r="12" spans="1:7" x14ac:dyDescent="0.25">
      <c r="A12" s="2" t="s">
        <v>135</v>
      </c>
      <c r="B12" s="1" t="s">
        <v>136</v>
      </c>
      <c r="C12" s="1">
        <v>2250</v>
      </c>
      <c r="D12" s="1">
        <v>3210</v>
      </c>
      <c r="E12" s="1">
        <v>20</v>
      </c>
      <c r="F12" s="5">
        <f>+Tabla2[[#This Row],[Largo]]</f>
        <v>2250</v>
      </c>
      <c r="G12" s="6">
        <f>+Tabla2[[#This Row],[Ancho]]-Tabla2[[#This Row],[CORTE BANDA]]</f>
        <v>3190</v>
      </c>
    </row>
    <row r="13" spans="1:7" x14ac:dyDescent="0.25">
      <c r="A13" s="2" t="s">
        <v>137</v>
      </c>
      <c r="B13" s="1" t="s">
        <v>138</v>
      </c>
      <c r="C13" s="1">
        <v>2500</v>
      </c>
      <c r="D13" s="1">
        <v>3600</v>
      </c>
      <c r="E13" s="1">
        <v>20</v>
      </c>
      <c r="F13" s="5">
        <f>+Tabla2[[#This Row],[Largo]]</f>
        <v>2500</v>
      </c>
      <c r="G13" s="6">
        <f>+Tabla2[[#This Row],[Ancho]]-Tabla2[[#This Row],[CORTE BANDA]]</f>
        <v>3580</v>
      </c>
    </row>
    <row r="14" spans="1:7" x14ac:dyDescent="0.25">
      <c r="A14" s="2" t="s">
        <v>139</v>
      </c>
      <c r="B14" s="1" t="s">
        <v>140</v>
      </c>
      <c r="C14" s="1">
        <v>2500</v>
      </c>
      <c r="D14" s="1">
        <v>3600</v>
      </c>
      <c r="E14" s="1">
        <v>20</v>
      </c>
      <c r="F14" s="5">
        <f>+Tabla2[[#This Row],[Largo]]</f>
        <v>2500</v>
      </c>
      <c r="G14" s="6">
        <f>+Tabla2[[#This Row],[Ancho]]-Tabla2[[#This Row],[CORTE BANDA]]</f>
        <v>3580</v>
      </c>
    </row>
    <row r="15" spans="1:7" x14ac:dyDescent="0.25">
      <c r="A15" s="2" t="s">
        <v>141</v>
      </c>
      <c r="B15" s="1" t="s">
        <v>142</v>
      </c>
      <c r="C15" s="1">
        <v>2500</v>
      </c>
      <c r="D15" s="1">
        <v>3600</v>
      </c>
      <c r="E15" s="1">
        <v>30</v>
      </c>
      <c r="F15" s="5">
        <f>+Tabla2[[#This Row],[Largo]]</f>
        <v>2500</v>
      </c>
      <c r="G15" s="6">
        <f>+Tabla2[[#This Row],[Ancho]]-Tabla2[[#This Row],[CORTE BANDA]]</f>
        <v>3570</v>
      </c>
    </row>
    <row r="16" spans="1:7" x14ac:dyDescent="0.25">
      <c r="A16" s="2" t="s">
        <v>143</v>
      </c>
      <c r="B16" s="1" t="s">
        <v>144</v>
      </c>
      <c r="C16" s="1">
        <v>2400</v>
      </c>
      <c r="D16" s="1">
        <v>3210</v>
      </c>
      <c r="E16" s="1">
        <v>30</v>
      </c>
      <c r="F16" s="5">
        <f>+Tabla2[[#This Row],[Largo]]</f>
        <v>2400</v>
      </c>
      <c r="G16" s="6">
        <f>+Tabla2[[#This Row],[Ancho]]-Tabla2[[#This Row],[CORTE BANDA]]</f>
        <v>3180</v>
      </c>
    </row>
    <row r="17" spans="1:7" x14ac:dyDescent="0.25">
      <c r="A17" s="2" t="s">
        <v>145</v>
      </c>
      <c r="B17" s="1" t="s">
        <v>146</v>
      </c>
      <c r="C17" s="1">
        <v>2500</v>
      </c>
      <c r="D17" s="1">
        <v>3600</v>
      </c>
      <c r="E17" s="1">
        <v>30</v>
      </c>
      <c r="F17" s="5">
        <f>+Tabla2[[#This Row],[Largo]]</f>
        <v>2500</v>
      </c>
      <c r="G17" s="6">
        <f>+Tabla2[[#This Row],[Ancho]]-Tabla2[[#This Row],[CORTE BANDA]]</f>
        <v>3570</v>
      </c>
    </row>
    <row r="18" spans="1:7" x14ac:dyDescent="0.25">
      <c r="A18" s="2" t="s">
        <v>147</v>
      </c>
      <c r="B18" s="1" t="s">
        <v>148</v>
      </c>
      <c r="C18" s="1">
        <v>2500</v>
      </c>
      <c r="D18" s="1">
        <v>3600</v>
      </c>
      <c r="E18" s="1">
        <v>30</v>
      </c>
      <c r="F18" s="5">
        <f>+Tabla2[[#This Row],[Largo]]</f>
        <v>2500</v>
      </c>
      <c r="G18" s="6">
        <f>+Tabla2[[#This Row],[Ancho]]-Tabla2[[#This Row],[CORTE BANDA]]</f>
        <v>3570</v>
      </c>
    </row>
    <row r="19" spans="1:7" x14ac:dyDescent="0.25">
      <c r="A19" s="2" t="s">
        <v>149</v>
      </c>
      <c r="B19" s="1" t="s">
        <v>150</v>
      </c>
      <c r="C19" s="1">
        <v>2400</v>
      </c>
      <c r="D19" s="1">
        <v>3210</v>
      </c>
      <c r="E19" s="1">
        <v>30</v>
      </c>
      <c r="F19" s="5">
        <f>+Tabla2[[#This Row],[Largo]]</f>
        <v>2400</v>
      </c>
      <c r="G19" s="6">
        <f>+Tabla2[[#This Row],[Ancho]]-Tabla2[[#This Row],[CORTE BANDA]]</f>
        <v>3180</v>
      </c>
    </row>
    <row r="20" spans="1:7" x14ac:dyDescent="0.25">
      <c r="A20" s="2" t="s">
        <v>151</v>
      </c>
      <c r="B20" s="1" t="s">
        <v>152</v>
      </c>
      <c r="C20" s="1">
        <v>2200</v>
      </c>
      <c r="D20" s="1">
        <v>3600</v>
      </c>
      <c r="E20" s="1">
        <v>30</v>
      </c>
      <c r="F20" s="5">
        <f>+Tabla2[[#This Row],[Largo]]</f>
        <v>2200</v>
      </c>
      <c r="G20" s="6">
        <f>+Tabla2[[#This Row],[Ancho]]-Tabla2[[#This Row],[CORTE BANDA]]</f>
        <v>3570</v>
      </c>
    </row>
    <row r="21" spans="1:7" x14ac:dyDescent="0.25">
      <c r="A21" s="2" t="s">
        <v>151</v>
      </c>
      <c r="B21" s="1" t="s">
        <v>152</v>
      </c>
      <c r="C21" s="1">
        <v>2500</v>
      </c>
      <c r="D21" s="1">
        <v>3600</v>
      </c>
      <c r="E21" s="1">
        <v>30</v>
      </c>
      <c r="F21" s="5">
        <f>+Tabla2[[#This Row],[Largo]]</f>
        <v>2500</v>
      </c>
      <c r="G21" s="6">
        <f>+Tabla2[[#This Row],[Ancho]]-Tabla2[[#This Row],[CORTE BANDA]]</f>
        <v>3570</v>
      </c>
    </row>
    <row r="22" spans="1:7" x14ac:dyDescent="0.25">
      <c r="A22" s="2" t="s">
        <v>151</v>
      </c>
      <c r="B22" s="1" t="s">
        <v>152</v>
      </c>
      <c r="C22" s="1">
        <v>2500</v>
      </c>
      <c r="D22" s="1">
        <v>4000</v>
      </c>
      <c r="E22" s="1">
        <v>30</v>
      </c>
      <c r="F22" s="5">
        <f>+Tabla2[[#This Row],[Largo]]</f>
        <v>2500</v>
      </c>
      <c r="G22" s="6">
        <f>+Tabla2[[#This Row],[Ancho]]-Tabla2[[#This Row],[CORTE BANDA]]</f>
        <v>3970</v>
      </c>
    </row>
    <row r="23" spans="1:7" x14ac:dyDescent="0.25">
      <c r="A23" s="2" t="s">
        <v>153</v>
      </c>
      <c r="B23" s="1" t="s">
        <v>154</v>
      </c>
      <c r="C23" s="1">
        <v>2440</v>
      </c>
      <c r="D23" s="1">
        <v>3300</v>
      </c>
      <c r="E23" s="1">
        <v>30</v>
      </c>
      <c r="F23" s="5">
        <f>+Tabla2[[#This Row],[Largo]]</f>
        <v>2440</v>
      </c>
      <c r="G23" s="6">
        <f>+Tabla2[[#This Row],[Ancho]]-Tabla2[[#This Row],[CORTE BANDA]]</f>
        <v>3270</v>
      </c>
    </row>
    <row r="24" spans="1:7" x14ac:dyDescent="0.25">
      <c r="A24" s="2" t="s">
        <v>155</v>
      </c>
      <c r="B24" s="1" t="s">
        <v>156</v>
      </c>
      <c r="C24" s="1">
        <v>2400</v>
      </c>
      <c r="D24" s="1">
        <v>3210</v>
      </c>
      <c r="E24" s="1">
        <v>30</v>
      </c>
      <c r="F24" s="5">
        <f>+Tabla2[[#This Row],[Largo]]</f>
        <v>2400</v>
      </c>
      <c r="G24" s="6">
        <f>+Tabla2[[#This Row],[Ancho]]-Tabla2[[#This Row],[CORTE BANDA]]</f>
        <v>3180</v>
      </c>
    </row>
    <row r="25" spans="1:7" x14ac:dyDescent="0.25">
      <c r="A25" s="2" t="s">
        <v>157</v>
      </c>
      <c r="B25" s="1" t="s">
        <v>158</v>
      </c>
      <c r="C25" s="1">
        <v>2500</v>
      </c>
      <c r="D25" s="1">
        <v>3600</v>
      </c>
      <c r="E25" s="1">
        <v>30</v>
      </c>
      <c r="F25" s="5">
        <f>+Tabla2[[#This Row],[Largo]]</f>
        <v>2500</v>
      </c>
      <c r="G25" s="6">
        <f>+Tabla2[[#This Row],[Ancho]]-Tabla2[[#This Row],[CORTE BANDA]]</f>
        <v>3570</v>
      </c>
    </row>
    <row r="26" spans="1:7" x14ac:dyDescent="0.25">
      <c r="A26" s="2" t="s">
        <v>159</v>
      </c>
      <c r="B26" s="1" t="s">
        <v>160</v>
      </c>
      <c r="C26" s="1">
        <v>2400</v>
      </c>
      <c r="D26" s="1">
        <v>3210</v>
      </c>
      <c r="E26" s="1">
        <v>30</v>
      </c>
      <c r="F26" s="5">
        <f>+Tabla2[[#This Row],[Largo]]</f>
        <v>2400</v>
      </c>
      <c r="G26" s="6">
        <f>+Tabla2[[#This Row],[Ancho]]-Tabla2[[#This Row],[CORTE BANDA]]</f>
        <v>3180</v>
      </c>
    </row>
    <row r="27" spans="1:7" x14ac:dyDescent="0.25">
      <c r="A27" s="2" t="s">
        <v>161</v>
      </c>
      <c r="B27" s="1" t="s">
        <v>162</v>
      </c>
      <c r="C27" s="1">
        <v>2400</v>
      </c>
      <c r="D27" s="1">
        <v>3210</v>
      </c>
      <c r="E27" s="1">
        <v>30</v>
      </c>
      <c r="F27" s="5">
        <f>+Tabla2[[#This Row],[Largo]]</f>
        <v>2400</v>
      </c>
      <c r="G27" s="6">
        <f>+Tabla2[[#This Row],[Ancho]]-Tabla2[[#This Row],[CORTE BANDA]]</f>
        <v>3180</v>
      </c>
    </row>
    <row r="28" spans="1:7" x14ac:dyDescent="0.25">
      <c r="A28" s="2" t="s">
        <v>163</v>
      </c>
      <c r="B28" s="1" t="s">
        <v>164</v>
      </c>
      <c r="C28" s="1">
        <v>2400</v>
      </c>
      <c r="D28" s="1">
        <v>3210</v>
      </c>
      <c r="E28" s="1">
        <v>30</v>
      </c>
      <c r="F28" s="5">
        <f>+Tabla2[[#This Row],[Largo]]</f>
        <v>2400</v>
      </c>
      <c r="G28" s="6">
        <f>+Tabla2[[#This Row],[Ancho]]-Tabla2[[#This Row],[CORTE BANDA]]</f>
        <v>3180</v>
      </c>
    </row>
    <row r="29" spans="1:7" x14ac:dyDescent="0.25">
      <c r="A29" s="2" t="s">
        <v>165</v>
      </c>
      <c r="B29" s="1" t="s">
        <v>166</v>
      </c>
      <c r="C29" s="1">
        <v>2500</v>
      </c>
      <c r="D29" s="1">
        <v>3600</v>
      </c>
      <c r="E29" s="1">
        <v>50</v>
      </c>
      <c r="F29" s="5">
        <f>+Tabla2[[#This Row],[Largo]]</f>
        <v>2500</v>
      </c>
      <c r="G29" s="6">
        <f>+Tabla2[[#This Row],[Ancho]]-Tabla2[[#This Row],[CORTE BANDA]]</f>
        <v>3550</v>
      </c>
    </row>
    <row r="30" spans="1:7" x14ac:dyDescent="0.25">
      <c r="A30" s="2" t="s">
        <v>167</v>
      </c>
      <c r="B30" s="1" t="s">
        <v>168</v>
      </c>
      <c r="C30" s="1">
        <v>2500</v>
      </c>
      <c r="D30" s="1">
        <v>3600</v>
      </c>
      <c r="E30" s="1">
        <v>50</v>
      </c>
      <c r="F30" s="5">
        <f>+Tabla2[[#This Row],[Largo]]</f>
        <v>2500</v>
      </c>
      <c r="G30" s="6">
        <f>+Tabla2[[#This Row],[Ancho]]-Tabla2[[#This Row],[CORTE BANDA]]</f>
        <v>3550</v>
      </c>
    </row>
    <row r="31" spans="1:7" x14ac:dyDescent="0.25">
      <c r="A31" s="2" t="s">
        <v>169</v>
      </c>
      <c r="B31" s="1" t="s">
        <v>170</v>
      </c>
      <c r="C31" s="1">
        <v>2500</v>
      </c>
      <c r="D31" s="1">
        <v>3600</v>
      </c>
      <c r="E31" s="1">
        <v>50</v>
      </c>
      <c r="F31" s="5">
        <f>+Tabla2[[#This Row],[Largo]]</f>
        <v>2500</v>
      </c>
      <c r="G31" s="6">
        <f>+Tabla2[[#This Row],[Ancho]]-Tabla2[[#This Row],[CORTE BANDA]]</f>
        <v>3550</v>
      </c>
    </row>
    <row r="32" spans="1:7" x14ac:dyDescent="0.25">
      <c r="A32" s="2" t="s">
        <v>171</v>
      </c>
      <c r="B32" s="1" t="s">
        <v>172</v>
      </c>
      <c r="C32" s="1">
        <v>2500</v>
      </c>
      <c r="D32" s="1">
        <v>3600</v>
      </c>
      <c r="E32" s="1">
        <v>50</v>
      </c>
      <c r="F32" s="5">
        <f>+Tabla2[[#This Row],[Largo]]</f>
        <v>2500</v>
      </c>
      <c r="G32" s="6">
        <f>+Tabla2[[#This Row],[Ancho]]-Tabla2[[#This Row],[CORTE BANDA]]</f>
        <v>3550</v>
      </c>
    </row>
    <row r="33" spans="1:7" x14ac:dyDescent="0.25">
      <c r="A33" s="2" t="s">
        <v>173</v>
      </c>
      <c r="B33" s="1" t="s">
        <v>174</v>
      </c>
      <c r="C33" s="1">
        <v>2500</v>
      </c>
      <c r="D33" s="1">
        <v>3600</v>
      </c>
      <c r="E33" s="1">
        <v>50</v>
      </c>
      <c r="F33" s="5">
        <f>+Tabla2[[#This Row],[Largo]]</f>
        <v>2500</v>
      </c>
      <c r="G33" s="6">
        <f>+Tabla2[[#This Row],[Ancho]]-Tabla2[[#This Row],[CORTE BANDA]]</f>
        <v>3550</v>
      </c>
    </row>
    <row r="34" spans="1:7" x14ac:dyDescent="0.25">
      <c r="A34" s="2" t="s">
        <v>175</v>
      </c>
      <c r="B34" s="1" t="s">
        <v>176</v>
      </c>
      <c r="C34" s="1">
        <v>2500</v>
      </c>
      <c r="D34" s="1">
        <v>3600</v>
      </c>
      <c r="E34" s="1">
        <v>50</v>
      </c>
      <c r="F34" s="5">
        <f>+Tabla2[[#This Row],[Largo]]</f>
        <v>2500</v>
      </c>
      <c r="G34" s="6">
        <f>+Tabla2[[#This Row],[Ancho]]-Tabla2[[#This Row],[CORTE BANDA]]</f>
        <v>3550</v>
      </c>
    </row>
    <row r="35" spans="1:7" x14ac:dyDescent="0.25">
      <c r="A35" s="2" t="s">
        <v>177</v>
      </c>
      <c r="B35" s="1" t="s">
        <v>178</v>
      </c>
      <c r="C35" s="1">
        <v>2500</v>
      </c>
      <c r="D35" s="1">
        <v>3600</v>
      </c>
      <c r="E35" s="1">
        <v>50</v>
      </c>
      <c r="F35" s="5">
        <f>+Tabla2[[#This Row],[Largo]]</f>
        <v>2500</v>
      </c>
      <c r="G35" s="6">
        <f>+Tabla2[[#This Row],[Ancho]]-Tabla2[[#This Row],[CORTE BANDA]]</f>
        <v>3550</v>
      </c>
    </row>
    <row r="36" spans="1:7" x14ac:dyDescent="0.25">
      <c r="A36" s="3" t="s">
        <v>179</v>
      </c>
      <c r="B36" s="4" t="s">
        <v>180</v>
      </c>
      <c r="C36" s="4">
        <v>2500</v>
      </c>
      <c r="D36" s="4">
        <v>3600</v>
      </c>
      <c r="E36" s="4">
        <v>50</v>
      </c>
      <c r="F36" s="7">
        <f>+Tabla2[[#This Row],[Largo]]</f>
        <v>2500</v>
      </c>
      <c r="G36" s="8">
        <f>+Tabla2[[#This Row],[Ancho]]-Tabla2[[#This Row],[CORTE BANDA]]</f>
        <v>3550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MONOLITICO</vt:lpstr>
      <vt:lpstr>LAMINADO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gabriela.gobbo</dc:creator>
  <cp:lastModifiedBy>gabriela.gobbo</cp:lastModifiedBy>
  <dcterms:created xsi:type="dcterms:W3CDTF">2026-08-12T16:24:36Z</dcterms:created>
  <dcterms:modified xsi:type="dcterms:W3CDTF">2026-08-12T16:59:08Z</dcterms:modified>
</cp:coreProperties>
</file>